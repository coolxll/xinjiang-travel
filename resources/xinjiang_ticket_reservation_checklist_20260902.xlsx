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约清单" sheetId="1" state="visible" r:id="rId1"/>
    <sheet xmlns:r="http://schemas.openxmlformats.org/officeDocument/2006/relationships" name="行动时间线" sheetId="2" state="visible" r:id="rId2"/>
    <sheet xmlns:r="http://schemas.openxmlformats.org/officeDocument/2006/relationships" name="规则与来源" sheetId="3" state="visible" r:id="rId3"/>
  </sheets>
  <definedNames>
    <definedName name="_xlnm._FilterDatabase" localSheetId="0" hidden="1">'预约清单'!$A$8:$P$12</definedName>
    <definedName name="_xlnm._FilterDatabase" localSheetId="1" hidden="1">'行动时间线'!$A$3:$G$9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"/>
    <numFmt numFmtId="166" formatCode="yyyy-mm-dd"/>
    <numFmt numFmtId="167" formatCode="¥0"/>
    <numFmt numFmtId="168" formatCode="¥#,##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0000FF"/>
    </font>
    <font>
      <i val="1"/>
      <color rgb="00666666"/>
    </font>
    <font>
      <b val="1"/>
      <color rgb="00FFFFFF"/>
    </font>
    <font>
      <color rgb="00000000"/>
    </font>
    <font>
      <color rgb="00666666"/>
    </font>
    <font>
      <color rgb="00008000"/>
    </font>
    <font>
      <b val="1"/>
      <color rgb="007030A0"/>
    </font>
    <font>
      <name val="Calibri"/>
      <family val="2"/>
      <color theme="10"/>
      <sz val="12"/>
      <scheme val="minor"/>
    </font>
    <font>
      <b val="1"/>
      <color rgb="00C00000"/>
    </font>
    <font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</borders>
  <cellStyleXfs count="2">
    <xf numFmtId="0" fontId="0" fillId="0" borderId="0"/>
    <xf numFmtId="0" fontId="1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3" borderId="0" pivotButton="0" quotePrefix="0" xfId="0"/>
    <xf numFmtId="0" fontId="6" fillId="4" borderId="0" applyAlignment="1" pivotButton="0" quotePrefix="0" xfId="0">
      <alignment vertical="top" wrapText="1"/>
    </xf>
    <xf numFmtId="165" fontId="3" fillId="0" borderId="0" pivotButton="0" quotePrefix="0" xfId="0"/>
    <xf numFmtId="0" fontId="6" fillId="5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166" fontId="3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7" fontId="6" fillId="0" borderId="2" applyAlignment="1" pivotButton="0" quotePrefix="0" xfId="0">
      <alignment vertical="top" wrapText="1"/>
    </xf>
    <xf numFmtId="168" fontId="6" fillId="0" borderId="2" applyAlignment="1" pivotButton="0" quotePrefix="0" xfId="0">
      <alignment vertical="top" wrapText="1"/>
    </xf>
    <xf numFmtId="166" fontId="6" fillId="0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10" fillId="0" borderId="2" applyAlignment="1" pivotButton="0" quotePrefix="0" xfId="1">
      <alignment vertical="top" wrapText="1"/>
    </xf>
    <xf numFmtId="0" fontId="11" fillId="0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11" fillId="5" borderId="0" applyAlignment="1" pivotButton="0" quotePrefix="0" xfId="0">
      <alignment wrapText="1"/>
    </xf>
    <xf numFmtId="0" fontId="5" fillId="2" borderId="0" pivotButton="0" quotePrefix="0" xfId="0"/>
    <xf numFmtId="0" fontId="3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12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  <xf numFmtId="0" fontId="10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F9" authorId="0" shapeId="0">
      <text>
        <t>喀纳斯：当前主流公开价格为一进230元/人、二进270元/人（门票+区间车）。出发前以官方购票页为准。</t>
      </text>
    </comment>
    <comment ref="F11" authorId="0" shapeId="0">
      <text>
        <t>禾木：携程当前显示门票75元起；具体票种组合以官方购票页实时价格为准。</t>
      </text>
    </comment>
    <comment ref="F12" authorId="0" shapeId="0">
      <text>
        <t>赛里木湖门票目前公开口径70元/人。</t>
      </text>
    </comment>
    <comment ref="G12" authorId="0" shapeId="0">
      <text>
        <t>2026-08-20起按车辆核定座位数收费：5座及以下120元/车，6-7座180元/车，8-19座300元/车，20座及以上600元/车。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s.ctrip.com/html5/you/sight/816.html" TargetMode="External" Id="rId1"/><Relationship Type="http://schemas.openxmlformats.org/officeDocument/2006/relationships/hyperlink" Target="https://www.aksxw.com/sy/rdxw/xj/202605/t20260511_34373389.html" TargetMode="External" Id="rId2"/><Relationship Type="http://schemas.openxmlformats.org/officeDocument/2006/relationships/hyperlink" Target="https://gs.ctrip.com/html5/you/sight/816.html" TargetMode="External" Id="rId3"/><Relationship Type="http://schemas.openxmlformats.org/officeDocument/2006/relationships/hyperlink" Target="https://www.xjboz.gov.cn/xjboz/c125795/202608/80097089e11f4d4db3e3fa1760c3e443.shtml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gs.ctrip.com/html5/you/sight/816.html" TargetMode="External" Id="rId1"/><Relationship Type="http://schemas.openxmlformats.org/officeDocument/2006/relationships/hyperlink" Target="https://www.aksxw.com/sy/rdxw/xj/202605/t20260511_34373389.html" TargetMode="External" Id="rId2"/><Relationship Type="http://schemas.openxmlformats.org/officeDocument/2006/relationships/hyperlink" Target="https://www.xjboz.gov.cn/xjboz/c125795/202608/80097089e11f4d4db3e3fa1760c3e443.s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45" customWidth="1" min="4" max="4"/>
    <col width="29" customWidth="1" min="5" max="5"/>
    <col width="13" customWidth="1" min="6" max="6"/>
    <col width="15" customWidth="1" min="7" max="7"/>
    <col width="14" customWidth="1" min="8" max="8"/>
    <col width="13" customWidth="1" min="9" max="9"/>
    <col width="13" customWidth="1" min="10" max="10"/>
    <col width="36" customWidth="1" min="11" max="11"/>
    <col width="43" customWidth="1" min="12" max="12"/>
    <col width="12" customWidth="1" min="13" max="13"/>
    <col width="19" customWidth="1" min="14" max="14"/>
    <col width="42" customWidth="1" min="15" max="15"/>
    <col width="48" customWidth="1" min="16" max="16"/>
  </cols>
  <sheetData>
    <row r="1" ht="28" customHeight="1">
      <c r="A1" s="1" t="inlineStr">
        <is>
          <t>新疆北疆自驾｜门票、预约与通行准备清单</t>
        </is>
      </c>
    </row>
    <row r="3">
      <c r="A3" s="2" t="inlineStr">
        <is>
          <t>同行人数</t>
        </is>
      </c>
      <c r="B3" s="3" t="n">
        <v>4</v>
      </c>
      <c r="C3" s="4" t="inlineStr">
        <is>
          <t>可修改；费用公式联动</t>
        </is>
      </c>
      <c r="E3" s="5" t="inlineStr">
        <is>
          <t>当前关键结论</t>
        </is>
      </c>
    </row>
    <row r="4" ht="38" customHeight="1">
      <c r="A4" s="2" t="inlineStr">
        <is>
          <t>车辆数</t>
        </is>
      </c>
      <c r="B4" s="3" t="n">
        <v>1</v>
      </c>
      <c r="C4" s="4" t="inlineStr">
        <is>
          <t>按1台租车测算</t>
        </is>
      </c>
      <c r="E4" s="6" t="inlineStr">
        <is>
          <t>1) 喀纳斯 / 禾木：当前可直接实名购票，近期公开口径不要求额外“预约”；但你们正好是9月底秋色+国庆高峰，建议提前锁票，并在出发前一周复核。</t>
        </is>
      </c>
    </row>
    <row r="5" ht="38" customHeight="1">
      <c r="A5" s="2" t="inlineStr">
        <is>
          <t>租车核定座位数</t>
        </is>
      </c>
      <c r="B5" s="3" t="n">
        <v>5</v>
      </c>
      <c r="C5" s="4" t="inlineStr">
        <is>
          <t>途岳通常为5座；以实际行驶证为准</t>
        </is>
      </c>
      <c r="E5" s="6" t="inlineStr">
        <is>
          <t>2) 阿禾公路：当前夏季通行规则对7座及以下车实行9:30–15:00放行；5月阿勒泰本地公开提醒称无需边境通行证。旧攻略仍残留“预约/边防证”说法，所以出发前2天必须再核一次。</t>
        </is>
      </c>
    </row>
    <row r="6" ht="38" customHeight="1">
      <c r="A6" s="2" t="inlineStr">
        <is>
          <t>规则核验时间</t>
        </is>
      </c>
      <c r="B6" s="7" t="n">
        <v>46267.89652777778</v>
      </c>
      <c r="C6" s="4" t="inlineStr">
        <is>
          <t>截至该时间的公开信息</t>
        </is>
      </c>
      <c r="E6" s="8" t="inlineStr">
        <is>
          <t>3) 赛里木湖：2026-08-20起自驾按车收费，同时实行自驾车辆预约；目前公开口径为提前3天预约，达到当日车辆上限后关闭。</t>
        </is>
      </c>
    </row>
    <row r="8" ht="36" customHeight="1">
      <c r="A8" s="9" t="inlineStr">
        <is>
          <t>优先级</t>
        </is>
      </c>
      <c r="B8" s="9" t="inlineStr">
        <is>
          <t>项目</t>
        </is>
      </c>
      <c r="C8" s="9" t="inlineStr">
        <is>
          <t>计划游览日</t>
        </is>
      </c>
      <c r="D8" s="9" t="inlineStr">
        <is>
          <t>当前规则</t>
        </is>
      </c>
      <c r="E8" s="9" t="inlineStr">
        <is>
          <t>票型/方式</t>
        </is>
      </c>
      <c r="F8" s="9" t="inlineStr">
        <is>
          <t>人均票价(元)</t>
        </is>
      </c>
      <c r="G8" s="9" t="inlineStr">
        <is>
          <t>车辆费(元/车)</t>
        </is>
      </c>
      <c r="H8" s="9" t="inlineStr">
        <is>
          <t>预计总价(元)</t>
        </is>
      </c>
      <c r="I8" s="9" t="inlineStr">
        <is>
          <t>建议提前天数</t>
        </is>
      </c>
      <c r="J8" s="9" t="inlineStr">
        <is>
          <t>建议操作日</t>
        </is>
      </c>
      <c r="K8" s="9" t="inlineStr">
        <is>
          <t>购票/预约渠道</t>
        </is>
      </c>
      <c r="L8" s="9" t="inlineStr">
        <is>
          <t>需准备信息</t>
        </is>
      </c>
      <c r="M8" s="9" t="inlineStr">
        <is>
          <t>负责人</t>
        </is>
      </c>
      <c r="N8" s="9" t="inlineStr">
        <is>
          <t>状态</t>
        </is>
      </c>
      <c r="O8" s="9" t="inlineStr">
        <is>
          <t>出发前复核</t>
        </is>
      </c>
      <c r="P8" s="9" t="inlineStr">
        <is>
          <t>来源</t>
        </is>
      </c>
    </row>
    <row r="9" ht="88" customHeight="1">
      <c r="A9" s="10" t="inlineStr">
        <is>
          <t>P0</t>
        </is>
      </c>
      <c r="B9" s="11" t="inlineStr">
        <is>
          <t>喀纳斯景区门票 + 区间车</t>
        </is>
      </c>
      <c r="C9" s="12" t="n">
        <v>46293</v>
      </c>
      <c r="D9" s="13" t="inlineStr">
        <is>
          <t>截至9/2：近期公开口径为无需额外预约，可线上/现场实名购票；但有日承载限制，秋色+国庆高峰建议提前买，不要把现场购票当主方案。</t>
        </is>
      </c>
      <c r="E9" s="14" t="inlineStr">
        <is>
          <t>一进（住景区内/只进1次）</t>
        </is>
      </c>
      <c r="F9" s="15">
        <f>IF(E9="二进（住贾登峪且第二天再进）",270,230)</f>
        <v/>
      </c>
      <c r="G9" s="15" t="n">
        <v>0</v>
      </c>
      <c r="H9" s="16">
        <f>F9*$B$3+G9*$B$4</f>
        <v/>
      </c>
      <c r="I9" s="11" t="n">
        <v>8</v>
      </c>
      <c r="J9" s="17">
        <f>C9-I9</f>
        <v/>
      </c>
      <c r="K9" s="13" t="inlineStr">
        <is>
          <t>“喀纳斯景区”公众号 / “原行网” / “智游阿勒泰” / 携程、美团</t>
        </is>
      </c>
      <c r="L9" s="13" t="inlineStr">
        <is>
          <t>4人身份证；优惠证件；先确认住宿是在景区内还是贾登峪，以决定“一进/二进”。</t>
        </is>
      </c>
      <c r="M9" s="14" t="inlineStr"/>
      <c r="N9" s="18" t="inlineStr">
        <is>
          <t>待办</t>
        </is>
      </c>
      <c r="O9" s="19" t="inlineStr">
        <is>
          <t>9/20左右先锁票并复核规则；入园前一天再看区间车运营、道路临时管制。</t>
        </is>
      </c>
      <c r="P9" s="20" t="inlineStr">
        <is>
          <t>https://gs.ctrip.com/html5/you/sight/816.html
https://www.sina.cn/gc/article/niqepez9127870.html</t>
        </is>
      </c>
    </row>
    <row r="10" ht="88" customHeight="1">
      <c r="A10" s="10" t="inlineStr">
        <is>
          <t>P0</t>
        </is>
      </c>
      <c r="B10" s="11" t="inlineStr">
        <is>
          <t>阿禾公路通行（非门票）</t>
        </is>
      </c>
      <c r="C10" s="12" t="n">
        <v>46296</v>
      </c>
      <c r="D10" s="13" t="inlineStr">
        <is>
          <t>2026夏季公开规则：7座及以下客车每日9:30–15:00放行。阿勒泰市融媒体5月提醒称当前无需办理边境通行证；官方夏季通行公告也未写预约要求。</t>
        </is>
      </c>
      <c r="E10" s="14" t="inlineStr">
        <is>
          <t>7座及以下自驾通行</t>
        </is>
      </c>
      <c r="F10" s="15">
        <f>0</f>
        <v/>
      </c>
      <c r="G10" s="15" t="n">
        <v>0</v>
      </c>
      <c r="H10" s="16">
        <f>F10*$B$3+G10*$B$4</f>
        <v/>
      </c>
      <c r="I10" s="11" t="n">
        <v>2</v>
      </c>
      <c r="J10" s="17">
        <f>C10-I10</f>
        <v/>
      </c>
      <c r="K10" s="13" t="inlineStr">
        <is>
          <t>阿勒泰零距离 / 新疆交通相关官方信息；若临时恢复预约，以“原行网”等官方入口为准</t>
        </is>
      </c>
      <c r="L10" s="13" t="inlineStr">
        <is>
          <t>实际车辆需为7座及以下；出发前加满油/充满电；保存车辆信息。当前不需要为阿禾公路单独买票。</t>
        </is>
      </c>
      <c r="M10" s="14" t="inlineStr"/>
      <c r="N10" s="18" t="inlineStr">
        <is>
          <t>需复核</t>
        </is>
      </c>
      <c r="O10" s="19" t="inlineStr">
        <is>
          <t>9/29再核一次最新通行时段、天气/结冰、是否临时恢复预约或证件要求；10/1早晨再看路况。</t>
        </is>
      </c>
      <c r="P10" s="20" t="inlineStr">
        <is>
          <t>https://www.aksxw.com/sy/rdxw/xj/202605/t20260511_34373389.html
https://www.chinaxinjiang.cn/2026/04/28/ff8dad87cd4e4272b165a9eac60f6d86.html</t>
        </is>
      </c>
    </row>
    <row r="11" ht="88" customHeight="1">
      <c r="A11" s="10" t="inlineStr">
        <is>
          <t>P0</t>
        </is>
      </c>
      <c r="B11" s="11" t="inlineStr">
        <is>
          <t>禾木景区门票 + 区间车</t>
        </is>
      </c>
      <c r="C11" s="12" t="n">
        <v>46296</v>
      </c>
      <c r="D11" s="13" t="inlineStr">
        <is>
          <t>当前与喀纳斯同口径：可实名购票，不要求额外预约；但禾木秋景客流高度集中，建议提前买，不要依赖当天现场。</t>
        </is>
      </c>
      <c r="E11" s="14" t="inlineStr">
        <is>
          <t>门票 + 区间车</t>
        </is>
      </c>
      <c r="F11" s="15">
        <f>75</f>
        <v/>
      </c>
      <c r="G11" s="15" t="n">
        <v>0</v>
      </c>
      <c r="H11" s="16">
        <f>F11*$B$3+G11*$B$4</f>
        <v/>
      </c>
      <c r="I11" s="11" t="n">
        <v>8</v>
      </c>
      <c r="J11" s="17">
        <f>C11-I11</f>
        <v/>
      </c>
      <c r="K11" s="13" t="inlineStr">
        <is>
          <t>“喀纳斯景区”公众号 / “原行网” / “智游阿勒泰” / 携程、美团</t>
        </is>
      </c>
      <c r="L11" s="13" t="inlineStr">
        <is>
          <t>4人身份证；若住村内，另外确认民宿接驳、行李转运和最晚进村时间。</t>
        </is>
      </c>
      <c r="M11" s="14" t="inlineStr"/>
      <c r="N11" s="18" t="inlineStr">
        <is>
          <t>待办</t>
        </is>
      </c>
      <c r="O11" s="19" t="inlineStr">
        <is>
          <t>9/23左右锁票并复核规则；进村前一天确认区间车末班/民宿接驳。</t>
        </is>
      </c>
      <c r="P11" s="20" t="inlineStr">
        <is>
          <t>https://gs.ctrip.com/html5/you/sight/816.html
https://travel.sina.cn/2026-06-11/detail-iniayfve2485975.d.html?vt=4</t>
        </is>
      </c>
    </row>
    <row r="12" ht="88" customHeight="1">
      <c r="A12" s="21" t="inlineStr">
        <is>
          <t>P0+</t>
        </is>
      </c>
      <c r="B12" s="11" t="inlineStr">
        <is>
          <t>赛里木湖门票 + 自驾车辆预约</t>
        </is>
      </c>
      <c r="C12" s="12" t="n">
        <v>46299</v>
      </c>
      <c r="D12" s="13" t="inlineStr">
        <is>
          <t>自驾车辆需预约。2026-08-20起自驾服务费改为按车收取；目前公开口径为可提前3天预约，达到当日车辆承载上限后关闭自驾预约。</t>
        </is>
      </c>
      <c r="E12" s="14" t="inlineStr">
        <is>
          <t>自驾（按实际核定座位数）</t>
        </is>
      </c>
      <c r="F12" s="15">
        <f>70</f>
        <v/>
      </c>
      <c r="G12" s="15">
        <f>IF($B$5&lt;=5,120,IF($B$5&lt;=7,180,IF($B$5&lt;=19,300,600)))</f>
        <v/>
      </c>
      <c r="H12" s="16">
        <f>F12*$B$3+G12*$B$4</f>
        <v/>
      </c>
      <c r="I12" s="11" t="n">
        <v>3</v>
      </c>
      <c r="J12" s="17">
        <f>C12-I12</f>
        <v/>
      </c>
      <c r="K12" s="13" t="inlineStr">
        <is>
          <t>“赛里木湖旅游”微信官方小程序 / 携程 / 抖音</t>
        </is>
      </c>
      <c r="L12" s="13" t="inlineStr">
        <is>
          <t>租车车牌、车辆行驶证核定座位数、4人身份证。9/27取车后立即把车牌和行驶证信息拍照保存。</t>
        </is>
      </c>
      <c r="M12" s="14" t="inlineStr"/>
      <c r="N12" s="22" t="inlineStr">
        <is>
          <t>待办（高优先级）</t>
        </is>
      </c>
      <c r="O12" s="19" t="inlineStr">
        <is>
          <t>若10/4游览，10/1一开放就办理；预约时再确认入口/时段/退改规则。名额仅当日有效。</t>
        </is>
      </c>
      <c r="P12" s="20" t="inlineStr">
        <is>
          <t>https://www.xjboz.gov.cn/xjboz/c125795/202608/80097089e11f4d4db3e3fa1760c3e443.shtml
https://www.ly.com/scenery/BookSceneryTicket_1335.html</t>
        </is>
      </c>
    </row>
    <row r="15" ht="32" customHeight="1">
      <c r="A15" s="23" t="inlineStr">
        <is>
          <t>注意：今年喀纳斯/禾木、阿禾公路规则都出现过阶段性调整。表里把“确定要抢”的赛里木湖自驾和“必须复核”的阿禾公路分开标了。</t>
        </is>
      </c>
    </row>
    <row r="17">
      <c r="A17" s="24" t="inlineStr">
        <is>
          <t>颜色说明</t>
        </is>
      </c>
      <c r="B17" s="25" t="inlineStr">
        <is>
          <t>蓝字：可编辑输入</t>
        </is>
      </c>
      <c r="D17" s="26" t="inlineStr">
        <is>
          <t>绿字：公开信息/渠道</t>
        </is>
      </c>
      <c r="F17" s="27" t="inlineStr">
        <is>
          <t>黑字：公式/计算</t>
        </is>
      </c>
      <c r="H17" s="28" t="inlineStr">
        <is>
          <t>橙底：需要复核/注意</t>
        </is>
      </c>
    </row>
  </sheetData>
  <autoFilter ref="A8:P12"/>
  <mergeCells count="6">
    <mergeCell ref="E4:P4"/>
    <mergeCell ref="E6:P6"/>
    <mergeCell ref="A1:P1"/>
    <mergeCell ref="E5:P5"/>
    <mergeCell ref="A15:P15"/>
    <mergeCell ref="E3:P3"/>
  </mergeCells>
  <conditionalFormatting sqref="N9:N30">
    <cfRule type="expression" priority="1" dxfId="0">
      <formula>ISNUMBER(SEARCH("已",N9))</formula>
    </cfRule>
    <cfRule type="expression" priority="2" dxfId="1">
      <formula>ISNUMBER(SEARCH("高优先级",N9))</formula>
    </cfRule>
  </conditionalFormatting>
  <dataValidations count="2">
    <dataValidation sqref="N9:N30" showDropDown="0" showInputMessage="0" showErrorMessage="0" allowBlank="1" type="list">
      <formula1>"待办,待办（高优先级）,已购,已预约,已完成,需复核,取消"</formula1>
    </dataValidation>
    <dataValidation sqref="E9" showDropDown="0" showInputMessage="0" showErrorMessage="0" allowBlank="0" type="list">
      <formula1>"一进（住景区内/只进1次）,二进（住贾登峪且第二天再进）"</formula1>
    </dataValidation>
  </dataValidations>
  <hyperlinks>
    <hyperlink xmlns:r="http://schemas.openxmlformats.org/officeDocument/2006/relationships" ref="P9" r:id="rId1"/>
    <hyperlink xmlns:r="http://schemas.openxmlformats.org/officeDocument/2006/relationships" ref="P10" r:id="rId2"/>
    <hyperlink xmlns:r="http://schemas.openxmlformats.org/officeDocument/2006/relationships" ref="P11" r:id="rId3"/>
    <hyperlink xmlns:r="http://schemas.openxmlformats.org/officeDocument/2006/relationships" ref="P12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8" customWidth="1" min="3" max="3"/>
    <col width="46" customWidth="1" min="4" max="4"/>
    <col width="37" customWidth="1" min="5" max="5"/>
    <col width="19" customWidth="1" min="6" max="6"/>
    <col width="48" customWidth="1" min="7" max="7"/>
  </cols>
  <sheetData>
    <row r="1" ht="28" customHeight="1">
      <c r="A1" s="29" t="inlineStr">
        <is>
          <t>预约 / 购票 / 通行行动时间线（按当前讨论版游览日）</t>
        </is>
      </c>
    </row>
    <row r="3">
      <c r="A3" s="9" t="inlineStr">
        <is>
          <t>日期</t>
        </is>
      </c>
      <c r="B3" s="9" t="inlineStr">
        <is>
          <t>动作</t>
        </is>
      </c>
      <c r="C3" s="9" t="inlineStr">
        <is>
          <t>对象</t>
        </is>
      </c>
      <c r="D3" s="9" t="inlineStr">
        <is>
          <t>为什么这天做</t>
        </is>
      </c>
      <c r="E3" s="9" t="inlineStr">
        <is>
          <t>完成标准</t>
        </is>
      </c>
      <c r="F3" s="9" t="inlineStr">
        <is>
          <t>状态</t>
        </is>
      </c>
      <c r="G3" s="9" t="inlineStr">
        <is>
          <t>备注</t>
        </is>
      </c>
    </row>
    <row r="4" ht="60" customHeight="1">
      <c r="A4" s="12" t="n">
        <v>46285</v>
      </c>
      <c r="B4" s="11" t="inlineStr">
        <is>
          <t>复核并锁票</t>
        </is>
      </c>
      <c r="C4" s="11" t="inlineStr">
        <is>
          <t>喀纳斯</t>
        </is>
      </c>
      <c r="D4" s="11" t="inlineStr">
        <is>
          <t>9/28游览，先避开秋色+国庆高峰票务风险。</t>
        </is>
      </c>
      <c r="E4" s="11" t="inlineStr">
        <is>
          <t>4人票已下单；一进/二进确认</t>
        </is>
      </c>
      <c r="F4" s="18" t="inlineStr">
        <is>
          <t>待办</t>
        </is>
      </c>
      <c r="G4" s="11" t="inlineStr">
        <is>
          <t>住景区内一般选一进；住贾登峪且第二天再入考虑二进。</t>
        </is>
      </c>
    </row>
    <row r="5" ht="60" customHeight="1">
      <c r="A5" s="12" t="n">
        <v>46288</v>
      </c>
      <c r="B5" s="11" t="inlineStr">
        <is>
          <t>复核并锁票</t>
        </is>
      </c>
      <c r="C5" s="11" t="inlineStr">
        <is>
          <t>禾木</t>
        </is>
      </c>
      <c r="D5" s="11" t="inlineStr">
        <is>
          <t>10/1进入禾木，秋景高峰不建议临场买。</t>
        </is>
      </c>
      <c r="E5" s="11" t="inlineStr">
        <is>
          <t>4人票已下单</t>
        </is>
      </c>
      <c r="F5" s="18" t="inlineStr">
        <is>
          <t>待办</t>
        </is>
      </c>
      <c r="G5" s="11" t="inlineStr">
        <is>
          <t>同步确认民宿接驳与行李转运。</t>
        </is>
      </c>
    </row>
    <row r="6" ht="60" customHeight="1">
      <c r="A6" s="12" t="n">
        <v>46292</v>
      </c>
      <c r="B6" s="11" t="inlineStr">
        <is>
          <t>取车后登记车辆信息</t>
        </is>
      </c>
      <c r="C6" s="11" t="inlineStr">
        <is>
          <t>租车</t>
        </is>
      </c>
      <c r="D6" s="11" t="inlineStr">
        <is>
          <t>赛里木湖自驾预约要按实际车辆信息办理。</t>
        </is>
      </c>
      <c r="E6" s="11" t="inlineStr">
        <is>
          <t>保存车牌照片、行驶证/核定座位数</t>
        </is>
      </c>
      <c r="F6" s="18" t="inlineStr">
        <is>
          <t>待办</t>
        </is>
      </c>
      <c r="G6" s="11" t="inlineStr">
        <is>
          <t>目前按5座车测算。</t>
        </is>
      </c>
    </row>
    <row r="7" ht="60" customHeight="1">
      <c r="A7" s="12" t="n">
        <v>46294</v>
      </c>
      <c r="B7" s="11" t="inlineStr">
        <is>
          <t>复核通行规则</t>
        </is>
      </c>
      <c r="C7" s="11" t="inlineStr">
        <is>
          <t>阿禾公路</t>
        </is>
      </c>
      <c r="D7" s="11" t="inlineStr">
        <is>
          <t>规则存在旧信息残留；临近出发确认最可靠。</t>
        </is>
      </c>
      <c r="E7" s="11" t="inlineStr">
        <is>
          <t>确认10/1通行时段、是否预约/证件、天气路况</t>
        </is>
      </c>
      <c r="F7" s="18" t="inlineStr">
        <is>
          <t>需复核</t>
        </is>
      </c>
      <c r="G7" s="11" t="inlineStr">
        <is>
          <t>当前公开口径：7座及以下9:30–15:00；无需边境证。</t>
        </is>
      </c>
    </row>
    <row r="8" ht="60" customHeight="1">
      <c r="A8" s="12" t="n">
        <v>46296</v>
      </c>
      <c r="B8" s="11" t="inlineStr">
        <is>
          <t>抢自驾预约</t>
        </is>
      </c>
      <c r="C8" s="11" t="inlineStr">
        <is>
          <t>赛里木湖</t>
        </is>
      </c>
      <c r="D8" s="11" t="inlineStr">
        <is>
          <t>若10/4游览，当前公开口径为提前3天预约。</t>
        </is>
      </c>
      <c r="E8" s="11" t="inlineStr">
        <is>
          <t>10/4自驾名额+4人门票完成</t>
        </is>
      </c>
      <c r="F8" s="22" t="inlineStr">
        <is>
          <t>待办（高优先级）</t>
        </is>
      </c>
      <c r="G8" s="11" t="inlineStr">
        <is>
          <t>一开放就办，不拖到当天。</t>
        </is>
      </c>
    </row>
    <row r="9" ht="60" customHeight="1">
      <c r="A9" s="12" t="n">
        <v>46298</v>
      </c>
      <c r="B9" s="11" t="inlineStr">
        <is>
          <t>入园前复核</t>
        </is>
      </c>
      <c r="C9" s="11" t="inlineStr">
        <is>
          <t>赛里木湖</t>
        </is>
      </c>
      <c r="D9" s="11" t="inlineStr">
        <is>
          <t>确认次日入口、营业时间、天气和临时交通规则。</t>
        </is>
      </c>
      <c r="E9" s="11" t="inlineStr">
        <is>
          <t>路线/入口/凭证均可用</t>
        </is>
      </c>
      <c r="F9" s="18" t="inlineStr">
        <is>
          <t>待办</t>
        </is>
      </c>
      <c r="G9" s="11" t="inlineStr">
        <is>
          <t>极端天气可能临时管控。</t>
        </is>
      </c>
    </row>
  </sheetData>
  <autoFilter ref="A3:G9"/>
  <mergeCells count="1">
    <mergeCell ref="A1:G1"/>
  </mergeCells>
  <dataValidations count="1">
    <dataValidation sqref="F4:F20" showDropDown="0" showInputMessage="0" showErrorMessage="0" allowBlank="1" type="list">
      <formula1>"待办,待办（高优先级）,已完成,需复核,取消"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58" customWidth="1" min="3" max="3"/>
    <col width="62" customWidth="1" min="4" max="4"/>
  </cols>
  <sheetData>
    <row r="1">
      <c r="A1" s="29" t="inlineStr">
        <is>
          <t>规则核验与来源说明</t>
        </is>
      </c>
    </row>
    <row r="3">
      <c r="A3" s="30" t="inlineStr">
        <is>
          <t>主题</t>
        </is>
      </c>
      <c r="B3" s="30" t="inlineStr">
        <is>
          <t>截至2026-09-02的结论</t>
        </is>
      </c>
      <c r="C3" s="30" t="inlineStr">
        <is>
          <t>为什么仍需复核</t>
        </is>
      </c>
      <c r="D3" s="30" t="inlineStr">
        <is>
          <t>来源URL</t>
        </is>
      </c>
    </row>
    <row r="4" ht="95" customHeight="1">
      <c r="A4" s="31" t="inlineStr">
        <is>
          <t>喀纳斯/禾木</t>
        </is>
      </c>
      <c r="B4" s="31" t="inlineStr">
        <is>
          <t>携程当前显示喀纳斯230元起、禾木75元起且可订今日；近期公开信息称已取消额外预约门槛，可提前线上实名购票。</t>
        </is>
      </c>
      <c r="C4" s="31" t="inlineStr">
        <is>
          <t>2026年内出现过分时预约与取消预约的切换；你们出行处于9月底秋色+国庆高峰。</t>
        </is>
      </c>
      <c r="D4" s="32" t="inlineStr">
        <is>
          <t>https://gs.ctrip.com/html5/you/sight/816.html
https://www.sina.cn/gc/article/niqepez9127870.html</t>
        </is>
      </c>
    </row>
    <row r="5" ht="95" customHeight="1">
      <c r="A5" s="31" t="inlineStr">
        <is>
          <t>阿禾公路</t>
        </is>
      </c>
      <c r="B5" s="31" t="inlineStr">
        <is>
          <t>2026夏季规则：7座及以下每日9:30–15:00放行；5月阿勒泰市融媒体明确提醒通行无需办理边境通行证。</t>
        </is>
      </c>
      <c r="C5" s="31" t="inlineStr">
        <is>
          <t>第三方页面仍残留2024年的预约/边防证规则，且9月底山区天气可能触发临时管控。</t>
        </is>
      </c>
      <c r="D5" s="32" t="inlineStr">
        <is>
          <t>https://www.aksxw.com/sy/rdxw/xj/202605/t20260511_34373389.html
https://www.chinaxinjiang.cn/2026/04/28/ff8dad87cd4e4272b165a9eac60f6d86.html</t>
        </is>
      </c>
    </row>
    <row r="6" ht="95" customHeight="1">
      <c r="A6" s="31" t="inlineStr">
        <is>
          <t>赛里木湖自驾</t>
        </is>
      </c>
      <c r="B6" s="31" t="inlineStr">
        <is>
          <t>8月20日起自驾按车收费；公告渠道显示实行自驾车辆预约，可提前3天办理。</t>
        </is>
      </c>
      <c r="C6" s="31" t="inlineStr">
        <is>
          <t>新规刚落地，不同渠道对现场售票/车辆上限细节有差异，以“赛里木湖旅游”官方小程序实时显示为准。</t>
        </is>
      </c>
      <c r="D6" s="32" t="inlineStr">
        <is>
          <t>https://www.xjboz.gov.cn/xjboz/c125795/202608/80097089e11f4d4db3e3fa1760c3e443.shtml
https://www.ly.com/scenery/BookSceneryTicket_1335.html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2026-09-02T13:35:53Z</dcterms:created>
  <dcterms:modified xmlns:dcterms="http://purl.org/dc/terms/" xmlns:xsi="http://www.w3.org/2001/XMLSchema-instance" xsi:type="dcterms:W3CDTF">2026-09-02T13:35:53Z</dcterms:modified>
</cp:coreProperties>
</file>